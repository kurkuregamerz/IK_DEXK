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ackclub Projects\Hardware\IK_DEXK\"/>
    </mc:Choice>
  </mc:AlternateContent>
  <xr:revisionPtr revIDLastSave="0" documentId="13_ncr:1_{4D268CEE-CFA9-44C8-950D-3009B8F72C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F8" i="1"/>
  <c r="F7" i="1"/>
  <c r="F6" i="1"/>
  <c r="F5" i="1"/>
</calcChain>
</file>

<file path=xl/sharedStrings.xml><?xml version="1.0" encoding="utf-8"?>
<sst xmlns="http://schemas.openxmlformats.org/spreadsheetml/2006/main" count="41" uniqueCount="31">
  <si>
    <t>Item</t>
  </si>
  <si>
    <t>Source</t>
  </si>
  <si>
    <t>Source URL</t>
  </si>
  <si>
    <t>Units</t>
  </si>
  <si>
    <t>Price/unit</t>
  </si>
  <si>
    <t>Total</t>
  </si>
  <si>
    <t>PCB</t>
  </si>
  <si>
    <t>JLCPCB</t>
  </si>
  <si>
    <t>https://jlcpcb.com</t>
  </si>
  <si>
    <t>CASE-BOTTOM</t>
  </si>
  <si>
    <t>JLC3DP</t>
  </si>
  <si>
    <t>https://jlc3dp.com</t>
  </si>
  <si>
    <t>CASE-TOP</t>
  </si>
  <si>
    <t>Cherry MX2A Keyswitch - Red</t>
  </si>
  <si>
    <t>Sparkfun</t>
  </si>
  <si>
    <t>https://www.sparkfun.com/cherry-mx2a-keyswitch-red.html</t>
  </si>
  <si>
    <t>Cherry MX Keycap - R2 (Translucent Black)</t>
  </si>
  <si>
    <t>https://www.sparkfun.com/cherry-mx-keycap-r2-translucent-black.html</t>
  </si>
  <si>
    <t>Seeed Studio XIAO RP2040 - Supports Arduino, MicroPython and CircuitPython</t>
  </si>
  <si>
    <t>SeedStudio</t>
  </si>
  <si>
    <t>https://www.seeedstudio.com/XIAO-RP2040-v1-0-p-5026.html</t>
  </si>
  <si>
    <t>Diode Small Signal - 1N4148</t>
  </si>
  <si>
    <t>https://www.sparkfun.com/diode-small-signal-1n4148.html</t>
  </si>
  <si>
    <t>OLED Display 0.91 Inch BLUE 4-Pin Module I2C/IIC</t>
  </si>
  <si>
    <t>Techdelivers</t>
  </si>
  <si>
    <t>https://techdelivers.com/0-91-inch-oled-lcd-display-module-blue-128x32-i2c-iic-serial?tag=i2c%20lcd</t>
  </si>
  <si>
    <t>M3x16mm screws</t>
  </si>
  <si>
    <t>(Get it from a local hardware or fastener shop)Well priced online retailers not available</t>
  </si>
  <si>
    <t>NONE</t>
  </si>
  <si>
    <t>M3x5mx4mm heatset inserts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</si>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</sst>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8" fontId="0" fillId="0" borderId="0" xfId="0" applyNumberFormat="1"/>
    <xf numFmtId="168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45" zoomScaleNormal="145" workbookViewId="0">
      <selection activeCell="E10" sqref="E10"/>
    </sheetView>
  </sheetViews>
  <sheetFormatPr defaultRowHeight="15" x14ac:dyDescent="0.25"/>
  <cols>
    <col min="1" max="1" width="50" customWidth="1"/>
    <col min="2" max="2" width="11" customWidth="1"/>
    <col min="3" max="3" width="50" customWidth="1"/>
    <col min="4" max="4" width="6" customWidth="1"/>
    <col min="5" max="5" width="11" customWidth="1"/>
    <col min="6" max="6" width="16" customWidth="1"/>
    <col min="7" max="7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s="3">
        <v>4</v>
      </c>
      <c r="F2" s="2">
        <v>4</v>
      </c>
    </row>
    <row r="3" spans="1:6" x14ac:dyDescent="0.25">
      <c r="A3" t="s">
        <v>9</v>
      </c>
      <c r="B3" t="s">
        <v>10</v>
      </c>
      <c r="C3" t="s">
        <v>11</v>
      </c>
      <c r="D3">
        <v>1</v>
      </c>
      <c r="E3" s="3">
        <v>22.34</v>
      </c>
      <c r="F3" s="2">
        <v>46.92</v>
      </c>
    </row>
    <row r="4" spans="1:6" x14ac:dyDescent="0.25">
      <c r="A4" t="s">
        <v>12</v>
      </c>
      <c r="B4" t="s">
        <v>10</v>
      </c>
      <c r="C4" t="s">
        <v>11</v>
      </c>
      <c r="D4">
        <v>1</v>
      </c>
      <c r="E4" s="3">
        <v>3.94</v>
      </c>
      <c r="F4" s="2">
        <v>3.94</v>
      </c>
    </row>
    <row r="5" spans="1:6" x14ac:dyDescent="0.25">
      <c r="A5" t="s">
        <v>13</v>
      </c>
      <c r="B5" t="s">
        <v>14</v>
      </c>
      <c r="C5" t="s">
        <v>15</v>
      </c>
      <c r="D5">
        <v>16</v>
      </c>
      <c r="E5" s="3">
        <v>1.95</v>
      </c>
      <c r="F5" s="3">
        <f>PRODUCT(1.95,16)</f>
        <v>31.2</v>
      </c>
    </row>
    <row r="6" spans="1:6" x14ac:dyDescent="0.25">
      <c r="A6" t="s">
        <v>16</v>
      </c>
      <c r="B6" t="s">
        <v>14</v>
      </c>
      <c r="C6" t="s">
        <v>17</v>
      </c>
      <c r="D6">
        <v>16</v>
      </c>
      <c r="E6" s="3">
        <v>1.05</v>
      </c>
      <c r="F6" s="2">
        <f>PRODUCT(16,1.05)</f>
        <v>16.8</v>
      </c>
    </row>
    <row r="7" spans="1:6" x14ac:dyDescent="0.25">
      <c r="A7" t="s">
        <v>18</v>
      </c>
      <c r="B7" t="s">
        <v>19</v>
      </c>
      <c r="C7" t="s">
        <v>20</v>
      </c>
      <c r="D7">
        <v>1</v>
      </c>
      <c r="E7" s="3">
        <v>3.9</v>
      </c>
      <c r="F7" s="2">
        <f>PRODUCT(D7,E7)</f>
        <v>3.9</v>
      </c>
    </row>
    <row r="8" spans="1:6" x14ac:dyDescent="0.25">
      <c r="A8" s="1" t="s">
        <v>21</v>
      </c>
      <c r="B8" t="s">
        <v>14</v>
      </c>
      <c r="C8" t="s">
        <v>22</v>
      </c>
      <c r="D8">
        <v>16</v>
      </c>
      <c r="E8" s="3">
        <v>0.25</v>
      </c>
      <c r="F8" s="2">
        <f>PRODUCT(D8,E8)</f>
        <v>4</v>
      </c>
    </row>
    <row r="9" spans="1:6" x14ac:dyDescent="0.25">
      <c r="A9" t="s">
        <v>23</v>
      </c>
      <c r="B9" t="s">
        <v>24</v>
      </c>
      <c r="C9" t="s">
        <v>25</v>
      </c>
      <c r="D9">
        <v>1</v>
      </c>
      <c r="E9" s="3">
        <v>1.78</v>
      </c>
      <c r="F9" s="2">
        <v>1.78</v>
      </c>
    </row>
    <row r="10" spans="1:6" x14ac:dyDescent="0.25">
      <c r="A10" t="s">
        <v>26</v>
      </c>
      <c r="B10" t="s">
        <v>27</v>
      </c>
      <c r="C10" t="s">
        <v>28</v>
      </c>
      <c r="D10">
        <v>4</v>
      </c>
      <c r="E10" s="3" t="s">
        <v>30</v>
      </c>
      <c r="F10" s="3" t="s">
        <v>30</v>
      </c>
    </row>
    <row r="11" spans="1:6" x14ac:dyDescent="0.25">
      <c r="A11" t="s">
        <v>29</v>
      </c>
      <c r="B11" t="s">
        <v>27</v>
      </c>
      <c r="C11" t="s">
        <v>28</v>
      </c>
      <c r="D11">
        <v>4</v>
      </c>
      <c r="E11" s="3" t="s">
        <v>30</v>
      </c>
      <c r="F11" s="3" t="s">
        <v>30</v>
      </c>
    </row>
    <row r="12" spans="1:6" x14ac:dyDescent="0.25">
      <c r="A12" t="s">
        <v>5</v>
      </c>
      <c r="E12" s="3">
        <f>SUM(E2,E3,E4,E5,E6,E7,E8,E9)</f>
        <v>39.21</v>
      </c>
      <c r="F12" s="2">
        <f>SUM(F2,F3,F4,F5,F6,F7,F8,F9)</f>
        <v>112.54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Ishan Karar</cp:lastModifiedBy>
  <dcterms:modified xsi:type="dcterms:W3CDTF">2026-10-30T03:37:16Z</dcterms:modified>
</cp:coreProperties>
</file>